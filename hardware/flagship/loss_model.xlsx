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ck-mode loss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5E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</cols>
  <sheetData>
    <row r="1">
      <c r="A1" s="1" t="inlineStr">
        <is>
          <t>Watt Forge flagship: three-level buck-mode loss budget (live formulas). REFERENCE ONLY.</t>
        </is>
      </c>
    </row>
    <row r="2">
      <c r="A2" t="inlineStr">
        <is>
          <t>Blue cells are inputs (change them). Closed-form versions of watt_forge/flagship/model.py for D &gt; 0.5 buck mode.</t>
        </is>
      </c>
    </row>
    <row r="4">
      <c r="A4" s="1" t="inlineStr">
        <is>
          <t>Input</t>
        </is>
      </c>
      <c r="B4" s="1" t="inlineStr">
        <is>
          <t>Value</t>
        </is>
      </c>
      <c r="C4" s="1" t="inlineStr">
        <is>
          <t>Unit</t>
        </is>
      </c>
    </row>
    <row r="5">
      <c r="A5" t="inlineStr">
        <is>
          <t>Vin</t>
        </is>
      </c>
      <c r="B5" s="2" t="n">
        <v>56</v>
      </c>
      <c r="C5" t="inlineStr">
        <is>
          <t>V</t>
        </is>
      </c>
    </row>
    <row r="6">
      <c r="A6" t="inlineStr">
        <is>
          <t>Vout</t>
        </is>
      </c>
      <c r="B6" s="2" t="n">
        <v>48</v>
      </c>
      <c r="C6" t="inlineStr">
        <is>
          <t>V</t>
        </is>
      </c>
    </row>
    <row r="7">
      <c r="A7" t="inlineStr">
        <is>
          <t>Pout</t>
        </is>
      </c>
      <c r="B7" s="2" t="n">
        <v>400</v>
      </c>
      <c r="C7" t="inlineStr">
        <is>
          <t>W</t>
        </is>
      </c>
    </row>
    <row r="8">
      <c r="A8" t="inlineStr">
        <is>
          <t>fs</t>
        </is>
      </c>
      <c r="B8" s="2" t="n">
        <v>75000</v>
      </c>
      <c r="C8" t="inlineStr">
        <is>
          <t>Hz</t>
        </is>
      </c>
    </row>
    <row r="9">
      <c r="A9" t="inlineStr">
        <is>
          <t>L</t>
        </is>
      </c>
      <c r="B9" s="2" t="n">
        <v>4.7e-06</v>
      </c>
      <c r="C9" t="inlineStr">
        <is>
          <t>H</t>
        </is>
      </c>
    </row>
    <row r="10">
      <c r="A10" t="inlineStr">
        <is>
          <t>Rds_max_25C</t>
        </is>
      </c>
      <c r="B10" s="2" t="n">
        <v>0.001</v>
      </c>
      <c r="C10" t="inlineStr">
        <is>
          <t>ohm</t>
        </is>
      </c>
    </row>
    <row r="11">
      <c r="A11" t="inlineStr">
        <is>
          <t>Rds_tc</t>
        </is>
      </c>
      <c r="B11" s="2" t="n">
        <v>0.0065</v>
      </c>
      <c r="C11" t="inlineStr">
        <is>
          <t>1/K</t>
        </is>
      </c>
    </row>
    <row r="12">
      <c r="A12" t="inlineStr">
        <is>
          <t>Tj</t>
        </is>
      </c>
      <c r="B12" s="2" t="n">
        <v>80</v>
      </c>
      <c r="C12" t="inlineStr">
        <is>
          <t>C</t>
        </is>
      </c>
    </row>
    <row r="13">
      <c r="A13" t="inlineStr">
        <is>
          <t>dyn_rds</t>
        </is>
      </c>
      <c r="B13" s="2" t="n">
        <v>1.1</v>
      </c>
      <c r="C13" t="inlineStr">
        <is>
          <t>x</t>
        </is>
      </c>
    </row>
    <row r="14">
      <c r="A14" t="inlineStr">
        <is>
          <t>DCR_25C</t>
        </is>
      </c>
      <c r="B14" s="2" t="n">
        <v>0.00286</v>
      </c>
      <c r="C14" t="inlineStr">
        <is>
          <t>ohm</t>
        </is>
      </c>
    </row>
    <row r="15">
      <c r="A15" t="inlineStr">
        <is>
          <t>DCR_tc</t>
        </is>
      </c>
      <c r="B15" s="2" t="n">
        <v>0.0039</v>
      </c>
      <c r="C15" t="inlineStr">
        <is>
          <t>1/K</t>
        </is>
      </c>
    </row>
    <row r="16">
      <c r="A16" t="inlineStr">
        <is>
          <t>T_ind</t>
        </is>
      </c>
      <c r="B16" s="2" t="n">
        <v>70</v>
      </c>
      <c r="C16" t="inlineStr">
        <is>
          <t>C</t>
        </is>
      </c>
    </row>
    <row r="17">
      <c r="A17" t="inlineStr">
        <is>
          <t>Rac_factor</t>
        </is>
      </c>
      <c r="B17" s="2" t="n">
        <v>2</v>
      </c>
      <c r="C17" t="inlineStr">
        <is>
          <t>x</t>
        </is>
      </c>
    </row>
    <row r="18">
      <c r="A18" t="inlineStr">
        <is>
          <t>Qoss_ref</t>
        </is>
      </c>
      <c r="B18" s="2" t="n">
        <v>9.000000000000001e-08</v>
      </c>
      <c r="C18" t="inlineStr">
        <is>
          <t>C</t>
        </is>
      </c>
    </row>
    <row r="19">
      <c r="A19" t="inlineStr">
        <is>
          <t>Vref_qoss</t>
        </is>
      </c>
      <c r="B19" s="2" t="n">
        <v>50</v>
      </c>
      <c r="C19" t="inlineStr">
        <is>
          <t>V</t>
        </is>
      </c>
    </row>
    <row r="20">
      <c r="A20" t="inlineStr">
        <is>
          <t>m_qoss</t>
        </is>
      </c>
      <c r="B20" s="2" t="n">
        <v>0.653</v>
      </c>
      <c r="C20" t="inlineStr">
        <is>
          <t>-</t>
        </is>
      </c>
    </row>
    <row r="21">
      <c r="A21" t="inlineStr">
        <is>
          <t>Qg</t>
        </is>
      </c>
      <c r="B21" s="2" t="n">
        <v>2.8e-08</v>
      </c>
      <c r="C21" t="inlineStr">
        <is>
          <t>C</t>
        </is>
      </c>
    </row>
    <row r="22">
      <c r="A22" t="inlineStr">
        <is>
          <t>Vdrv</t>
        </is>
      </c>
      <c r="B22" s="2" t="n">
        <v>5</v>
      </c>
      <c r="C22" t="inlineStr">
        <is>
          <t>V</t>
        </is>
      </c>
    </row>
    <row r="23">
      <c r="A23" t="inlineStr">
        <is>
          <t>Vsd</t>
        </is>
      </c>
      <c r="B23" s="2" t="n">
        <v>2</v>
      </c>
      <c r="C23" t="inlineStr">
        <is>
          <t>V</t>
        </is>
      </c>
    </row>
    <row r="24">
      <c r="A24" t="inlineStr">
        <is>
          <t>t_dead</t>
        </is>
      </c>
      <c r="B24" s="2" t="n">
        <v>1e-08</v>
      </c>
      <c r="C24" t="inlineStr">
        <is>
          <t>s</t>
        </is>
      </c>
    </row>
    <row r="25">
      <c r="A25" t="inlineStr">
        <is>
          <t>t_ov_on</t>
        </is>
      </c>
      <c r="B25" s="2" t="n">
        <v>3.8e-09</v>
      </c>
      <c r="C25" t="inlineStr">
        <is>
          <t>s</t>
        </is>
      </c>
    </row>
    <row r="26">
      <c r="A26" t="inlineStr">
        <is>
          <t>t_ov_off</t>
        </is>
      </c>
      <c r="B26" s="2" t="n">
        <v>3.507692307692308e-09</v>
      </c>
      <c r="C26" t="inlineStr">
        <is>
          <t>s</t>
        </is>
      </c>
    </row>
    <row r="27">
      <c r="A27" t="inlineStr">
        <is>
          <t>k_hyst</t>
        </is>
      </c>
      <c r="B27" s="2" t="n">
        <v>0.1</v>
      </c>
      <c r="C27" t="inlineStr">
        <is>
          <t>-</t>
        </is>
      </c>
    </row>
    <row r="28">
      <c r="A28" t="inlineStr">
        <is>
          <t>L_loop</t>
        </is>
      </c>
      <c r="B28" s="2" t="n">
        <v>4e-10</v>
      </c>
      <c r="C28" t="inlineStr">
        <is>
          <t>H</t>
        </is>
      </c>
    </row>
    <row r="29">
      <c r="A29" t="inlineStr">
        <is>
          <t>ESR_fly</t>
        </is>
      </c>
      <c r="B29" s="2" t="n">
        <v>0.00075</v>
      </c>
      <c r="C29" t="inlineStr">
        <is>
          <t>ohm</t>
        </is>
      </c>
    </row>
    <row r="30">
      <c r="A30" t="inlineStr">
        <is>
          <t>ESR_in</t>
        </is>
      </c>
      <c r="B30" s="2" t="n">
        <v>0.001</v>
      </c>
      <c r="C30" t="inlineStr">
        <is>
          <t>ohm</t>
        </is>
      </c>
    </row>
    <row r="31">
      <c r="A31" t="inlineStr">
        <is>
          <t>ESR_out</t>
        </is>
      </c>
      <c r="B31" s="2" t="n">
        <v>0.001</v>
      </c>
      <c r="C31" t="inlineStr">
        <is>
          <t>ohm</t>
        </is>
      </c>
    </row>
    <row r="32">
      <c r="A32" t="inlineStr">
        <is>
          <t>R_pcb</t>
        </is>
      </c>
      <c r="B32" s="2" t="n">
        <v>0.0008</v>
      </c>
      <c r="C32" t="inlineStr">
        <is>
          <t>ohm</t>
        </is>
      </c>
    </row>
    <row r="33">
      <c r="A33" t="inlineStr">
        <is>
          <t>R_shunt</t>
        </is>
      </c>
      <c r="B33" s="2" t="n">
        <v>0.001</v>
      </c>
      <c r="C33" t="inlineStr">
        <is>
          <t>ohm</t>
        </is>
      </c>
    </row>
    <row r="34">
      <c r="A34" t="inlineStr">
        <is>
          <t>R_bds_25C</t>
        </is>
      </c>
      <c r="B34" s="2" t="n">
        <v>0.0032</v>
      </c>
      <c r="C34" t="inlineStr">
        <is>
          <t>ohm</t>
        </is>
      </c>
    </row>
    <row r="35">
      <c r="A35" t="inlineStr">
        <is>
          <t>P_aux</t>
        </is>
      </c>
      <c r="B35" s="2" t="n">
        <v>0.55</v>
      </c>
      <c r="C35" t="inlineStr">
        <is>
          <t>W</t>
        </is>
      </c>
    </row>
    <row r="36">
      <c r="A36" t="inlineStr">
        <is>
          <t>k_B</t>
        </is>
      </c>
      <c r="B36" s="2" t="n">
        <v>0.005084745762711864</v>
      </c>
      <c r="C36" t="inlineStr">
        <is>
          <t>T/A</t>
        </is>
      </c>
    </row>
    <row r="37">
      <c r="A37" t="inlineStr">
        <is>
          <t>V_core</t>
        </is>
      </c>
      <c r="B37" s="2" t="n">
        <v>6e-06</v>
      </c>
      <c r="C37" t="inlineStr">
        <is>
          <t>m^3</t>
        </is>
      </c>
    </row>
    <row r="38">
      <c r="A38" t="inlineStr">
        <is>
          <t>st_alpha</t>
        </is>
      </c>
      <c r="B38" s="2" t="n">
        <v>1.46</v>
      </c>
      <c r="C38" t="inlineStr">
        <is>
          <t>-</t>
        </is>
      </c>
    </row>
    <row r="39">
      <c r="A39" t="inlineStr">
        <is>
          <t>st_beta</t>
        </is>
      </c>
      <c r="B39" s="2" t="n">
        <v>2.75</v>
      </c>
      <c r="C39" t="inlineStr">
        <is>
          <t>-</t>
        </is>
      </c>
    </row>
    <row r="40">
      <c r="A40" t="inlineStr">
        <is>
          <t>st_k</t>
        </is>
      </c>
      <c r="B40" s="2" t="n">
        <v>8.455148793793363</v>
      </c>
      <c r="C40" t="inlineStr">
        <is>
          <t>W/m^3/Hz^a/T^b</t>
        </is>
      </c>
    </row>
    <row r="41">
      <c r="A41" t="inlineStr">
        <is>
          <t>igse_ki</t>
        </is>
      </c>
      <c r="B41" s="2" t="n">
        <v>0.4206158463851032</v>
      </c>
      <c r="C41" t="inlineStr">
        <is>
          <t>iGSE k_i from st_k, alpha, beta (magnetics.igse_ki)</t>
        </is>
      </c>
    </row>
    <row r="43">
      <c r="A43" s="1" t="inlineStr">
        <is>
          <t>Derived</t>
        </is>
      </c>
    </row>
    <row r="44">
      <c r="A44" t="inlineStr">
        <is>
          <t>R_sw</t>
        </is>
      </c>
      <c r="B44">
        <f>$B$10*(1+$B$11*($B$12-25))*$B$13</f>
        <v/>
      </c>
      <c r="C44" t="inlineStr">
        <is>
          <t>ohm</t>
        </is>
      </c>
    </row>
    <row r="45">
      <c r="A45" t="inlineStr">
        <is>
          <t>DCR_hot</t>
        </is>
      </c>
      <c r="B45">
        <f>$B$14*(1+$B$15*($B$16-25))</f>
        <v/>
      </c>
      <c r="C45" t="inlineStr">
        <is>
          <t>ohm</t>
        </is>
      </c>
    </row>
    <row r="46">
      <c r="A46" t="inlineStr">
        <is>
          <t>R_bds</t>
        </is>
      </c>
      <c r="B46">
        <f>$B$34*(1+$B$11*($B$12-25))</f>
        <v/>
      </c>
      <c r="C46" t="inlineStr">
        <is>
          <t>ohm</t>
        </is>
      </c>
    </row>
    <row r="47">
      <c r="A47" t="inlineStr">
        <is>
          <t>Iout</t>
        </is>
      </c>
      <c r="B47">
        <f>$B$7/$B$6</f>
        <v/>
      </c>
      <c r="C47" t="inlineStr">
        <is>
          <t>A</t>
        </is>
      </c>
    </row>
    <row r="48">
      <c r="A48" t="inlineStr">
        <is>
          <t>IL</t>
        </is>
      </c>
      <c r="B48">
        <f>$B$47</f>
        <v/>
      </c>
      <c r="C48" t="inlineStr">
        <is>
          <t>A</t>
        </is>
      </c>
    </row>
    <row r="49">
      <c r="A49" t="inlineStr">
        <is>
          <t>D</t>
        </is>
      </c>
      <c r="B49">
        <f>($B$6+$B$48*(4*$B$44+$B$45+$B$32))/$B$5</f>
        <v/>
      </c>
      <c r="C49" t="inlineStr">
        <is>
          <t>-</t>
        </is>
      </c>
    </row>
    <row r="50">
      <c r="A50" t="inlineStr">
        <is>
          <t>dI</t>
        </is>
      </c>
      <c r="B50">
        <f>($B$5-$B$6)*($B$49-0.5)/($B$8*$B$9)</f>
        <v/>
      </c>
      <c r="C50" t="inlineStr">
        <is>
          <t>A pk-pk</t>
        </is>
      </c>
    </row>
    <row r="51">
      <c r="A51" t="inlineStr">
        <is>
          <t>I2</t>
        </is>
      </c>
      <c r="B51">
        <f>$B$48^2+$B$50^2/12</f>
        <v/>
      </c>
      <c r="C51" t="inlineStr">
        <is>
          <t>A^2</t>
        </is>
      </c>
    </row>
    <row r="52">
      <c r="A52" t="inlineStr">
        <is>
          <t>Iv</t>
        </is>
      </c>
      <c r="B52">
        <f>$B$48-$B$50/2</f>
        <v/>
      </c>
      <c r="C52" t="inlineStr">
        <is>
          <t>A</t>
        </is>
      </c>
    </row>
    <row r="53">
      <c r="A53" t="inlineStr">
        <is>
          <t>Ipk</t>
        </is>
      </c>
      <c r="B53">
        <f>$B$48+$B$50/2</f>
        <v/>
      </c>
      <c r="C53" t="inlineStr">
        <is>
          <t>A</t>
        </is>
      </c>
    </row>
    <row r="54">
      <c r="A54" t="inlineStr">
        <is>
          <t>Vsw</t>
        </is>
      </c>
      <c r="B54">
        <f>$B$5/2</f>
        <v/>
      </c>
      <c r="C54" t="inlineStr">
        <is>
          <t>V</t>
        </is>
      </c>
    </row>
    <row r="55">
      <c r="A55" t="inlineStr">
        <is>
          <t>Qoss_V</t>
        </is>
      </c>
      <c r="B55">
        <f>$B$18*($B$54/$B$19)^$B$20</f>
        <v/>
      </c>
      <c r="C55" t="inlineStr">
        <is>
          <t>C</t>
        </is>
      </c>
    </row>
    <row r="56">
      <c r="A56" t="inlineStr">
        <is>
          <t>Eoss_V</t>
        </is>
      </c>
      <c r="B56">
        <f>$B$20/($B$20+1)*$B$55*$B$54</f>
        <v/>
      </c>
      <c r="C56" t="inlineStr">
        <is>
          <t>J</t>
        </is>
      </c>
    </row>
    <row r="57">
      <c r="A57" t="inlineStr">
        <is>
          <t>zvs_res</t>
        </is>
      </c>
      <c r="B57">
        <f>MAX(0,1-$B$53*$B$24/(2*$B$55))</f>
        <v/>
      </c>
      <c r="C57" t="inlineStr">
        <is>
          <t>-</t>
        </is>
      </c>
    </row>
    <row r="58">
      <c r="A58" t="inlineStr">
        <is>
          <t>Iin</t>
        </is>
      </c>
      <c r="B58">
        <f>$B$49*$B$48</f>
        <v/>
      </c>
      <c r="C58" t="inlineStr">
        <is>
          <t>A</t>
        </is>
      </c>
    </row>
    <row r="59">
      <c r="A59" t="inlineStr">
        <is>
          <t>d_core</t>
        </is>
      </c>
      <c r="B59">
        <f>2*$B$49-1</f>
        <v/>
      </c>
      <c r="C59" t="inlineStr">
        <is>
          <t>-</t>
        </is>
      </c>
    </row>
    <row r="61">
      <c r="A61" s="1" t="inlineStr">
        <is>
          <t>Loss term</t>
        </is>
      </c>
      <c r="B61" s="1" t="inlineStr">
        <is>
          <t>Watts</t>
        </is>
      </c>
      <c r="C61" s="1" t="inlineStr">
        <is>
          <t>Python model</t>
        </is>
      </c>
    </row>
    <row r="62">
      <c r="A62" t="inlineStr">
        <is>
          <t>switch_conduction</t>
        </is>
      </c>
      <c r="B62">
        <f>4*$B$44*$B$51</f>
        <v/>
      </c>
      <c r="C62" t="n">
        <v>0.447076</v>
      </c>
    </row>
    <row r="63">
      <c r="A63" t="inlineStr">
        <is>
          <t>inductor_dcr</t>
        </is>
      </c>
      <c r="B63">
        <f>$B$45*$B$51</f>
        <v/>
      </c>
      <c r="C63" t="n">
        <v>0.251639</v>
      </c>
    </row>
    <row r="64">
      <c r="A64" t="inlineStr">
        <is>
          <t>inductor_ac</t>
        </is>
      </c>
      <c r="B64">
        <f>$B$45*($B$17-1)*$B$50^2/12</f>
        <v/>
      </c>
      <c r="C64" t="n">
        <v>0.018172</v>
      </c>
    </row>
    <row r="65">
      <c r="A65" t="inlineStr">
        <is>
          <t>pcb_copper</t>
        </is>
      </c>
      <c r="B65">
        <f>$B$32*$B$51</f>
        <v/>
      </c>
      <c r="C65" t="n">
        <v>0.05988</v>
      </c>
    </row>
    <row r="66">
      <c r="A66" t="inlineStr">
        <is>
          <t>shunts</t>
        </is>
      </c>
      <c r="B66">
        <f>$B$33*($B$58^2+$B$47^2)</f>
        <v/>
      </c>
      <c r="C66" t="n">
        <v>0.120645</v>
      </c>
    </row>
    <row r="67">
      <c r="A67" t="inlineStr">
        <is>
          <t>bds_disconnect</t>
        </is>
      </c>
      <c r="B67">
        <f>$B$46*$B$58^2</f>
        <v/>
      </c>
      <c r="C67" t="n">
        <v>0.222413</v>
      </c>
    </row>
    <row r="68">
      <c r="A68" t="inlineStr">
        <is>
          <t>cfly_esr</t>
        </is>
      </c>
      <c r="B68">
        <f>$B$29*2*(1-$B$49)*$B$51</f>
        <v/>
      </c>
      <c r="C68" t="n">
        <v>0.01587</v>
      </c>
    </row>
    <row r="69">
      <c r="A69" t="inlineStr">
        <is>
          <t>cin_cout_esr</t>
        </is>
      </c>
      <c r="B69">
        <f>$B$30*($B$49*$B$51-$B$58^2)+$B$31*$B$50^2/12</f>
        <v/>
      </c>
      <c r="C69" t="n">
        <v>0.018475</v>
      </c>
    </row>
    <row r="70">
      <c r="A70" t="inlineStr">
        <is>
          <t>coss</t>
        </is>
      </c>
      <c r="B70">
        <f>(2*$B$55*$B$54+2*$B$55*$B$54*$B$57^2)*$B$8</f>
        <v/>
      </c>
      <c r="C70" t="n">
        <v>0.258856</v>
      </c>
    </row>
    <row r="71">
      <c r="A71" t="inlineStr">
        <is>
          <t>overlap</t>
        </is>
      </c>
      <c r="B71">
        <f>(2*0.5*$B$54*$B$52*$B$25+2*0.5*$B$54*$B$53*$B$26)*$B$8</f>
        <v/>
      </c>
      <c r="C71" t="n">
        <v>0.125413</v>
      </c>
    </row>
    <row r="72">
      <c r="A72" t="inlineStr">
        <is>
          <t>dead_time</t>
        </is>
      </c>
      <c r="B72">
        <f>(2*$B$23*$B$52*$B$24+2*$B$23*$B$53*MAX(0,$B$24-2*$B$55/$B$53))*$B$8</f>
        <v/>
      </c>
      <c r="C72" t="n">
        <v>0.013021</v>
      </c>
    </row>
    <row r="73">
      <c r="A73" t="inlineStr">
        <is>
          <t>coss_hysteresis</t>
        </is>
      </c>
      <c r="B73">
        <f>4*$B$27*$B$56*$B$8</f>
        <v/>
      </c>
      <c r="C73" t="n">
        <v>0.020452</v>
      </c>
    </row>
    <row r="74">
      <c r="A74" t="inlineStr">
        <is>
          <t>loop_ringing</t>
        </is>
      </c>
      <c r="B74">
        <f>2*0.5*$B$28*$B$52^2*$B$8</f>
        <v/>
      </c>
      <c r="C74" t="n">
        <v>0.000556</v>
      </c>
    </row>
    <row r="75">
      <c r="A75" t="inlineStr">
        <is>
          <t>gate</t>
        </is>
      </c>
      <c r="B75">
        <f>4*$B$21*$B$22*$B$8</f>
        <v/>
      </c>
      <c r="C75" t="n">
        <v>0.042</v>
      </c>
    </row>
    <row r="76">
      <c r="A76" t="inlineStr">
        <is>
          <t>inductor_core</t>
        </is>
      </c>
      <c r="B76">
        <f>$B$41*($B$36*$B$50)^$B$39*(2*$B$8)^$B$38*($B$59^(1-$B$38)+(1-$B$59)^(1-$B$38))*$B$37</f>
        <v/>
      </c>
      <c r="C76" t="n">
        <v>0.041035</v>
      </c>
    </row>
    <row r="77">
      <c r="A77" t="inlineStr">
        <is>
          <t>aux</t>
        </is>
      </c>
      <c r="B77">
        <f>$B$35</f>
        <v/>
      </c>
      <c r="C77" t="n">
        <v>0.55</v>
      </c>
    </row>
    <row r="78">
      <c r="A78" s="1" t="inlineStr">
        <is>
          <t>TOTAL</t>
        </is>
      </c>
      <c r="B78">
        <f>SUM(B62:B77)</f>
        <v/>
      </c>
      <c r="C78">
        <f>SUM(C62:C77)</f>
        <v/>
      </c>
    </row>
    <row r="79">
      <c r="A79" s="1" t="inlineStr">
        <is>
          <t>Efficiency</t>
        </is>
      </c>
      <c r="B79">
        <f>$B$7/($B$7+B78)</f>
        <v/>
      </c>
      <c r="C79">
        <f>$B$7/($B$7+C78)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2026-10-01T00:17:10Z</dcterms:created>
  <dcterms:modified xmlns:dcterms="http://purl.org/dc/terms/" xmlns:xsi="http://www.w3.org/2001/XMLSchema-instance" xsi:type="dcterms:W3CDTF">2026-10-01T00:17:10Z</dcterms:modified>
</cp:coreProperties>
</file>